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50" windowHeight="9900" tabRatio="760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<sst xmlns="http://schemas.openxmlformats.org/spreadsheetml/2006/main" count="96" uniqueCount="80">
  <si>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填写人</t>
  </si>
  <si>
    <t>用友确认</t>
  </si>
  <si>
    <t>固定内容</t>
  </si>
  <si>
    <t>伙伴填写</t>
  </si>
  <si>
    <t>运营填写</t>
  </si>
  <si>
    <t>用友填写</t>
  </si>
  <si>
    <t>填写说明</t>
  </si>
  <si>
    <t>合作的产品名称</t>
  </si>
  <si>
    <t>产品细分一级模块，如不拆分报价可忽略</t>
  </si>
  <si>
    <t>所对应产品模块计量单位：如人/年、套/年、用户数、实施客开为人天等，具体视产品而定。</t>
  </si>
  <si>
    <t>收入分类：订阅产品、在线运营&amp;运维、一次性产品、驻场实施、开发、驻场服务</t>
  </si>
  <si>
    <t>具体产品模块是否为必须购买</t>
  </si>
  <si>
    <t>如阶梯报价填写</t>
  </si>
  <si>
    <t>该产品的对外公开标准价</t>
  </si>
  <si>
    <t>该产品的对外公开标准价包含的许可或用户数，如不包含，则为0，如不限制许可，则填写不限许可</t>
  </si>
  <si>
    <t>增加许可数每次的最小单位，通常为1；如无许可限制，可忽略</t>
  </si>
  <si>
    <t>增加最小单位许可的价格</t>
  </si>
  <si>
    <t>对所对应产品模块购买的约束限制，视ISV具体产品而定，如无可忽略</t>
  </si>
  <si>
    <t>【重点】服务类为6%，技术服务费；软件类为13%，请务必提供【开票大类、开票内容、税收编码】全部信息</t>
  </si>
  <si>
    <t>用友与伙伴的结算价格，即伙伴给用友的供货价，双方结算以此价格为准（</t>
  </si>
  <si>
    <t>增加1许可的结算单价，结算金额=标准产品结算价+许可数*许可结算单价+实施*人天+客开*人天</t>
  </si>
  <si>
    <r>
      <rPr>
        <sz val="6"/>
        <color theme="1"/>
        <rFont val="楷体"/>
        <charset val="134"/>
      </rPr>
      <t xml:space="preserve">厂商结算比=（标准产品结算价/标准产品价）*100%
</t>
    </r>
    <r>
      <rPr>
        <b/>
        <sz val="6"/>
        <color rgb="FFFF0000"/>
        <rFont val="楷体"/>
        <charset val="134"/>
      </rPr>
      <t>【重点】如为软件，即产品部分所有模块均需要保持同一扣率；服务（实施、客开、运维等）需要保持同一扣率为37%</t>
    </r>
  </si>
  <si>
    <t>产品形态：公有云（多租户）、公有云（专属云）、私有云订阅、私有云许可</t>
  </si>
  <si>
    <t>销售范围：分销、直销、产品公司</t>
  </si>
  <si>
    <t>产品类型：商品、服务</t>
  </si>
  <si>
    <t>伙伴企业名称</t>
  </si>
  <si>
    <t>产品编码</t>
  </si>
  <si>
    <t>领域</t>
  </si>
  <si>
    <t>领域/行业类型</t>
  </si>
  <si>
    <t>领域类型细分</t>
  </si>
  <si>
    <t>存货分类</t>
  </si>
  <si>
    <t>产品（服务）</t>
  </si>
  <si>
    <t>模块</t>
  </si>
  <si>
    <t>特性</t>
  </si>
  <si>
    <t>计价单位</t>
  </si>
  <si>
    <t>收入分类</t>
  </si>
  <si>
    <t>是否必选</t>
  </si>
  <si>
    <t>阶梯</t>
  </si>
  <si>
    <t>标准产品价</t>
  </si>
  <si>
    <t>市场单价包含许可数</t>
  </si>
  <si>
    <t>增加许可数</t>
  </si>
  <si>
    <t>许可数
单价</t>
  </si>
  <si>
    <t>依赖服务</t>
  </si>
  <si>
    <t>开票税率、开票大类、开票内容、税收编码</t>
  </si>
  <si>
    <t>标准产品结算价（厂商结算价）</t>
  </si>
  <si>
    <t>许可结算
单价</t>
  </si>
  <si>
    <t>厂商结算比例</t>
  </si>
  <si>
    <t>直销最低销售折扣</t>
  </si>
  <si>
    <t>直销结算比例</t>
  </si>
  <si>
    <t>分销结算比例</t>
  </si>
  <si>
    <t>产品公司结算比例</t>
  </si>
  <si>
    <t>产品结算方式</t>
  </si>
  <si>
    <t>收入确认类型</t>
  </si>
  <si>
    <t>产品线</t>
  </si>
  <si>
    <t>产品形态</t>
  </si>
  <si>
    <t>销售范围</t>
  </si>
  <si>
    <t>产品类型</t>
  </si>
  <si>
    <t>是否三方产品</t>
  </si>
  <si>
    <t>三方类型</t>
  </si>
  <si>
    <t>第三方模块厂商结算比例</t>
  </si>
  <si>
    <t>供应商名称</t>
  </si>
  <si>
    <t>是否支持试用/自用</t>
  </si>
  <si>
    <t>是否支持加购</t>
  </si>
  <si>
    <t>是否支持续费</t>
  </si>
  <si>
    <t>是否支持海外售卖</t>
  </si>
  <si>
    <t>备注</t>
  </si>
  <si>
    <t xml:space="preserve">泰顶研发项目管理作业平台
</t>
  </si>
  <si>
    <t>本地部署</t>
  </si>
  <si>
    <t>是</t>
  </si>
  <si>
    <t>泰顶IT服务项目作业平台</t>
  </si>
  <si>
    <t xml:space="preserve">
泰顶工程设计项目作业平台</t>
  </si>
  <si>
    <t>实施服务</t>
  </si>
  <si>
    <t>人天</t>
  </si>
  <si>
    <t>一次性</t>
  </si>
  <si>
    <t>客开服务</t>
  </si>
  <si>
    <t xml:space="preserve">许可计价方式 </t>
  </si>
  <si>
    <t>标准报价=标准产品价格+（许可数-1）*许可单价</t>
  </si>
  <si>
    <t>产品结算方式 ：标准报价*30%</t>
  </si>
  <si>
    <t>注：因产品形态不同，可按照公有云、专属云、私有云订阅、私有云许可拆分不同sheet页；报价模板内容同上。</t>
  </si>
  <si>
    <t>原生另行报价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</si>
</sst>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8"/>
      <color theme="1"/>
      <name val="微软雅黑"/>
      <charset val="134"/>
    </font>
    <font>
      <sz val="8"/>
      <color rgb="FFFF0000"/>
      <name val="仿宋"/>
      <charset val="134"/>
    </font>
    <font>
      <sz val="6"/>
      <color theme="1"/>
      <name val="楷体"/>
      <charset val="134"/>
    </font>
    <font>
      <b/>
      <sz val="6"/>
      <color rgb="FFFF0000"/>
      <name val="楷体"/>
      <charset val="134"/>
    </font>
    <font>
      <sz val="6"/>
      <color rgb="FF000000"/>
      <name val="楷体"/>
      <charset val="134"/>
    </font>
    <font>
      <b/>
      <sz val="9"/>
      <name val="微软雅黑"/>
      <charset val="134"/>
    </font>
    <font>
      <b/>
      <sz val="9"/>
      <color theme="0"/>
      <name val="微软雅黑"/>
      <charset val="134"/>
    </font>
    <font>
      <b/>
      <sz val="9"/>
      <color theme="1"/>
      <name val="微软雅黑"/>
      <charset val="134"/>
    </font>
    <font>
      <sz val="8"/>
      <name val="微软雅黑"/>
      <charset val="134"/>
    </font>
    <font>
      <sz val="9"/>
      <name val="Tahoma"/>
      <charset val="134"/>
    </font>
    <font>
      <sz val="8"/>
      <color theme="1" tint="0.499984740745262"/>
      <name val="微软雅黑"/>
      <charset val="134"/>
    </font>
    <font>
      <sz val="8"/>
      <color rgb="FF000000"/>
      <name val="微软雅黑"/>
      <charset val="134"/>
    </font>
    <font>
      <sz val="10"/>
      <color theme="1"/>
      <name val="等线"/>
      <charset val="134"/>
      <scheme val="minor"/>
    </font>
    <font>
      <sz val="5"/>
      <color rgb="FF000000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0" borderId="10" applyNumberFormat="0" applyAlignment="0" applyProtection="0">
      <alignment vertical="center"/>
    </xf>
    <xf numFmtId="0" fontId="28" fillId="11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6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49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49" applyFont="1" applyFill="1" applyBorder="1" applyAlignment="1">
      <alignment horizontal="center" vertical="center" wrapText="1"/>
    </xf>
    <xf numFmtId="43" fontId="11" fillId="2" borderId="4" xfId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43" fontId="10" fillId="2" borderId="1" xfId="49" applyNumberFormat="1" applyFont="1" applyFill="1" applyBorder="1" applyAlignment="1">
      <alignment horizontal="center" vertical="center" wrapText="1"/>
    </xf>
    <xf numFmtId="43" fontId="10" fillId="2" borderId="1" xfId="0" applyNumberFormat="1" applyFont="1" applyFill="1" applyBorder="1" applyAlignment="1">
      <alignment horizontal="left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7" borderId="1" xfId="49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43" fontId="10" fillId="2" borderId="0" xfId="49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9"/>
  <sheetViews>
    <sheetView tabSelected="1" zoomScale="130" zoomScaleNormal="130" topLeftCell="G2" workbookViewId="0">
      <selection activeCell="Q4" sqref="Q4:Q6"/>
    </sheetView>
  </sheetViews>
  <sheetFormatPr defaultColWidth="9.07079646017699" defaultRowHeight="12.35"/>
  <cols>
    <col min="1" max="2" width="9.07079646017699" style="5" hidden="1" customWidth="1"/>
    <col min="3" max="4" width="8.13274336283186" style="5" hidden="1" customWidth="1"/>
    <col min="5" max="6" width="7.60176991150442" style="5" hidden="1" customWidth="1"/>
    <col min="7" max="7" width="11.929203539823" style="5" customWidth="1"/>
    <col min="8" max="8" width="12.6637168141593" style="5" customWidth="1"/>
    <col min="9" max="9" width="4.53097345132743" style="5" hidden="1" customWidth="1"/>
    <col min="10" max="12" width="7.53097345132743" style="5" customWidth="1"/>
    <col min="13" max="13" width="4.53097345132743" style="5" customWidth="1"/>
    <col min="14" max="14" width="11.8672566371681" style="5" customWidth="1"/>
    <col min="15" max="15" width="8.13274336283186" style="5" customWidth="1"/>
    <col min="16" max="16" width="5.79646017699115" style="5" customWidth="1"/>
    <col min="17" max="17" width="7.53097345132743" style="5" customWidth="1"/>
    <col min="18" max="18" width="9.07079646017699" style="5"/>
    <col min="19" max="19" width="15.3982300884956" style="5" customWidth="1"/>
    <col min="20" max="20" width="10.8672566371681" style="5" customWidth="1"/>
    <col min="21" max="21" width="10.6637168141593" style="5" customWidth="1"/>
    <col min="22" max="22" width="7.53097345132743" style="5" customWidth="1"/>
    <col min="23" max="24" width="7" style="5" hidden="1" customWidth="1"/>
    <col min="25" max="25" width="7.66371681415929" style="5" hidden="1" customWidth="1"/>
    <col min="26" max="26" width="8.39823008849558" style="5" hidden="1" customWidth="1"/>
    <col min="27" max="27" width="7" style="5" hidden="1" customWidth="1"/>
    <col min="28" max="28" width="7.20353982300885" style="5" hidden="1" customWidth="1"/>
    <col min="29" max="29" width="0.20353982300885" style="5" hidden="1" customWidth="1"/>
    <col min="30" max="32" width="7.53097345132743" style="5" customWidth="1"/>
    <col min="33" max="33" width="10.7345132743363" style="5" hidden="1" customWidth="1"/>
    <col min="34" max="34" width="7.53097345132743" style="5" hidden="1" customWidth="1"/>
    <col min="35" max="35" width="19.1327433628319" style="5" hidden="1" customWidth="1"/>
    <col min="36" max="36" width="19.6017699115044" style="5" customWidth="1"/>
    <col min="37" max="37" width="14.7964601769912" style="5" hidden="1" customWidth="1"/>
    <col min="38" max="39" width="10.7345132743363" style="5" hidden="1" customWidth="1"/>
    <col min="40" max="40" width="14.1327433628319" style="5" hidden="1" customWidth="1"/>
    <col min="41" max="41" width="4.20353982300885" style="5" hidden="1" customWidth="1"/>
    <col min="42" max="42" width="7.53097345132743" style="5" hidden="1" customWidth="1"/>
    <col min="43" max="16384" width="9.07079646017699" style="5"/>
  </cols>
  <sheetData>
    <row r="1" s="1" customFormat="1" spans="1:42">
      <c r="A1" s="6" t="s">
        <v>0</v>
      </c>
      <c r="B1" s="6" t="s">
        <v>1</v>
      </c>
      <c r="C1" s="6" t="s">
        <v>1</v>
      </c>
      <c r="D1" s="6" t="s">
        <v>2</v>
      </c>
      <c r="E1" s="6" t="s">
        <v>2</v>
      </c>
      <c r="F1" s="6"/>
      <c r="G1" s="6" t="s">
        <v>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 t="s">
        <v>4</v>
      </c>
      <c r="X1" s="6"/>
      <c r="Y1" s="6"/>
      <c r="Z1" s="6"/>
      <c r="AA1" s="6"/>
      <c r="AB1" s="6"/>
      <c r="AC1" s="6"/>
      <c r="AD1" s="6" t="s">
        <v>3</v>
      </c>
      <c r="AE1" s="6"/>
      <c r="AF1" s="6"/>
      <c r="AG1" s="6" t="s">
        <v>5</v>
      </c>
      <c r="AH1" s="6"/>
      <c r="AI1" s="6"/>
      <c r="AJ1" s="6" t="s">
        <v>3</v>
      </c>
      <c r="AK1" s="6" t="s">
        <v>5</v>
      </c>
      <c r="AL1" s="6"/>
      <c r="AM1" s="6"/>
      <c r="AN1" s="6"/>
      <c r="AO1" s="6"/>
      <c r="AP1" s="6"/>
    </row>
    <row r="2" s="1" customFormat="1" ht="92.65" spans="1:42">
      <c r="A2" s="6" t="s">
        <v>6</v>
      </c>
      <c r="B2" s="7"/>
      <c r="C2" s="7"/>
      <c r="D2" s="7"/>
      <c r="E2" s="7"/>
      <c r="F2" s="7"/>
      <c r="G2" s="7" t="s">
        <v>7</v>
      </c>
      <c r="H2" s="7" t="s">
        <v>8</v>
      </c>
      <c r="I2" s="7"/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8" t="s">
        <v>18</v>
      </c>
      <c r="T2" s="7" t="s">
        <v>19</v>
      </c>
      <c r="U2" s="7" t="s">
        <v>20</v>
      </c>
      <c r="V2" s="7" t="s">
        <v>21</v>
      </c>
      <c r="W2" s="7"/>
      <c r="X2" s="7"/>
      <c r="Y2" s="7"/>
      <c r="Z2" s="7"/>
      <c r="AA2" s="9"/>
      <c r="AB2" s="9"/>
      <c r="AC2" s="9"/>
      <c r="AD2" s="7" t="s">
        <v>22</v>
      </c>
      <c r="AE2" s="7" t="s">
        <v>23</v>
      </c>
      <c r="AF2" s="7" t="s">
        <v>24</v>
      </c>
      <c r="AG2" s="7"/>
      <c r="AH2" s="10"/>
      <c r="AI2" s="6"/>
      <c r="AJ2" s="7" t="s">
        <v>25</v>
      </c>
      <c r="AK2" s="6"/>
      <c r="AL2" s="6"/>
      <c r="AM2" s="6"/>
      <c r="AN2" s="6"/>
      <c r="AO2" s="6"/>
      <c r="AP2" s="6"/>
    </row>
    <row r="3" ht="37.15" spans="1:42"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30</v>
      </c>
      <c r="G3" s="12" t="s">
        <v>31</v>
      </c>
      <c r="H3" s="12" t="s">
        <v>32</v>
      </c>
      <c r="I3" s="13" t="s">
        <v>33</v>
      </c>
      <c r="J3" s="12" t="s">
        <v>34</v>
      </c>
      <c r="K3" s="12" t="s">
        <v>35</v>
      </c>
      <c r="L3" s="12" t="s">
        <v>36</v>
      </c>
      <c r="M3" s="12" t="s">
        <v>37</v>
      </c>
      <c r="N3" s="12" t="s">
        <v>38</v>
      </c>
      <c r="O3" s="12" t="s">
        <v>39</v>
      </c>
      <c r="P3" s="12" t="s">
        <v>40</v>
      </c>
      <c r="Q3" s="12" t="s">
        <v>41</v>
      </c>
      <c r="R3" s="12" t="s">
        <v>42</v>
      </c>
      <c r="S3" s="12" t="s">
        <v>43</v>
      </c>
      <c r="T3" s="14" t="s">
        <v>44</v>
      </c>
      <c r="U3" s="12" t="s">
        <v>45</v>
      </c>
      <c r="V3" s="12" t="s">
        <v>46</v>
      </c>
      <c r="W3" s="11" t="s">
        <v>47</v>
      </c>
      <c r="X3" s="11" t="s">
        <v>48</v>
      </c>
      <c r="Y3" s="11" t="s">
        <v>49</v>
      </c>
      <c r="Z3" s="11" t="s">
        <v>50</v>
      </c>
      <c r="AA3" s="11" t="s">
        <v>51</v>
      </c>
      <c r="AB3" s="11" t="s">
        <v>52</v>
      </c>
      <c r="AC3" s="15" t="s">
        <v>53</v>
      </c>
      <c r="AD3" s="12" t="s">
        <v>54</v>
      </c>
      <c r="AE3" s="12" t="s">
        <v>55</v>
      </c>
      <c r="AF3" s="12" t="s">
        <v>56</v>
      </c>
      <c r="AG3" s="15" t="s">
        <v>57</v>
      </c>
      <c r="AH3" s="15" t="s">
        <v>58</v>
      </c>
      <c r="AI3" s="15" t="s">
        <v>59</v>
      </c>
      <c r="AJ3" s="12" t="s">
        <v>60</v>
      </c>
      <c r="AK3" s="15" t="s">
        <v>61</v>
      </c>
      <c r="AL3" s="15" t="s">
        <v>62</v>
      </c>
      <c r="AM3" s="15" t="s">
        <v>63</v>
      </c>
      <c r="AN3" s="15" t="s">
        <v>64</v>
      </c>
      <c r="AO3" s="15" t="s">
        <v>65</v>
      </c>
      <c r="AP3" s="15" t="s">
        <v>30</v>
      </c>
    </row>
    <row r="4" s="2" customFormat="1" ht="33.75" spans="1:42">
      <c r="B4" s="16"/>
      <c r="C4" s="17"/>
      <c r="D4" s="17"/>
      <c r="E4" s="17"/>
      <c r="F4" s="17"/>
      <c r="G4" s="17"/>
      <c r="H4" s="18" t="s">
        <v>66</v>
      </c>
      <c r="I4" s="18"/>
      <c r="J4" s="19" t="s">
        <v>33</v>
      </c>
      <c r="K4" s="18" t="s">
        <v>67</v>
      </c>
      <c r="L4" s="18" t="s">
        <v>68</v>
      </c>
      <c r="M4" s="18"/>
      <c r="N4" s="20">
        <v>380000</v>
      </c>
      <c r="O4" s="19">
        <v>1</v>
      </c>
      <c r="P4" s="18">
        <v>1</v>
      </c>
      <c r="Q4" s="21">
        <v>800</v>
      </c>
      <c r="R4" s="22"/>
      <c r="S4" s="23"/>
      <c r="T4" s="24">
        <f>N4*26%</f>
        <v>98800</v>
      </c>
      <c r="U4" s="25">
        <f>(N4+Q4*P4)*26%</f>
        <v>99008</v>
      </c>
      <c r="V4" s="26"/>
      <c r="W4" s="27"/>
      <c r="X4" s="27"/>
      <c r="Y4" s="26"/>
      <c r="Z4" s="27"/>
      <c r="AA4" s="28"/>
      <c r="AB4" s="28"/>
      <c r="AC4" s="29"/>
      <c r="AD4" s="29"/>
      <c r="AE4" s="29"/>
      <c r="AF4" s="28"/>
      <c r="AG4" s="28"/>
      <c r="AH4" s="28"/>
      <c r="AI4" s="27"/>
      <c r="AJ4" s="16"/>
      <c r="AK4" s="30"/>
      <c r="AL4" s="16"/>
      <c r="AM4" s="16"/>
      <c r="AN4" s="16"/>
      <c r="AO4" s="31"/>
      <c r="AP4" s="31"/>
    </row>
    <row r="5" s="2" customFormat="1" ht="22.5" spans="1:42">
      <c r="B5" s="16"/>
      <c r="C5" s="17"/>
      <c r="D5" s="17"/>
      <c r="E5" s="17"/>
      <c r="F5" s="17"/>
      <c r="G5" s="17"/>
      <c r="H5" s="18" t="s">
        <v>69</v>
      </c>
      <c r="I5" s="18"/>
      <c r="J5" s="19" t="s">
        <v>33</v>
      </c>
      <c r="K5" s="18" t="s">
        <v>67</v>
      </c>
      <c r="L5" s="18"/>
      <c r="M5" s="18"/>
      <c r="N5" s="20">
        <v>380000</v>
      </c>
      <c r="O5" s="19">
        <v>1</v>
      </c>
      <c r="P5" s="18">
        <v>1</v>
      </c>
      <c r="Q5" s="21">
        <v>800</v>
      </c>
      <c r="R5" s="22"/>
      <c r="S5" s="32"/>
      <c r="T5" s="24">
        <f>N5*26%</f>
        <v>98800</v>
      </c>
      <c r="U5" s="25">
        <f>(N5+Q5*P5)*26%</f>
        <v>99008</v>
      </c>
      <c r="V5" s="26"/>
      <c r="W5" s="27"/>
      <c r="X5" s="27"/>
      <c r="Y5" s="26"/>
      <c r="Z5" s="27"/>
      <c r="AA5" s="28"/>
      <c r="AB5" s="28"/>
      <c r="AC5" s="29"/>
      <c r="AD5" s="29"/>
      <c r="AE5" s="29"/>
      <c r="AF5" s="28"/>
      <c r="AG5" s="28"/>
      <c r="AH5" s="28"/>
      <c r="AI5" s="27"/>
      <c r="AJ5" s="16"/>
      <c r="AK5" s="30"/>
      <c r="AL5" s="16"/>
      <c r="AM5" s="16"/>
      <c r="AN5" s="16"/>
      <c r="AO5" s="31"/>
      <c r="AP5" s="31"/>
    </row>
    <row r="6" s="2" customFormat="1" ht="38.25" spans="1:42">
      <c r="B6" s="16"/>
      <c r="C6" s="17"/>
      <c r="D6" s="17"/>
      <c r="E6" s="17"/>
      <c r="F6" s="17"/>
      <c r="G6" s="17"/>
      <c r="H6" s="33" t="s">
        <v>70</v>
      </c>
      <c r="I6" s="18"/>
      <c r="J6" s="19" t="s">
        <v>33</v>
      </c>
      <c r="K6" s="18" t="s">
        <v>67</v>
      </c>
      <c r="L6" s="18" t="s">
        <v>68</v>
      </c>
      <c r="M6" s="18"/>
      <c r="N6" s="20">
        <v>380000</v>
      </c>
      <c r="O6" s="19">
        <v>1</v>
      </c>
      <c r="P6" s="18">
        <v>1</v>
      </c>
      <c r="Q6" s="21">
        <v>800</v>
      </c>
      <c r="R6" s="22"/>
      <c r="S6" s="32"/>
      <c r="T6" s="24">
        <f>N6*26%</f>
        <v>98800</v>
      </c>
      <c r="U6" s="25">
        <f>(N6+Q6*P6)*26%</f>
        <v>99008</v>
      </c>
      <c r="V6" s="26"/>
      <c r="W6" s="27"/>
      <c r="X6" s="27"/>
      <c r="Y6" s="26"/>
      <c r="Z6" s="27"/>
      <c r="AA6" s="28"/>
      <c r="AB6" s="28"/>
      <c r="AC6" s="29"/>
      <c r="AD6" s="29"/>
      <c r="AE6" s="29"/>
      <c r="AF6" s="28"/>
      <c r="AG6" s="28"/>
      <c r="AH6" s="28"/>
      <c r="AI6" s="27"/>
      <c r="AJ6" s="16"/>
      <c r="AK6" s="30"/>
      <c r="AL6" s="16"/>
      <c r="AM6" s="16"/>
      <c r="AN6" s="16"/>
      <c r="AO6" s="31"/>
      <c r="AP6" s="31"/>
    </row>
    <row r="7" s="2" customFormat="1" ht="12.75" spans="1:42">
      <c r="B7" s="16"/>
      <c r="C7" s="17"/>
      <c r="D7" s="17"/>
      <c r="E7" s="17"/>
      <c r="F7" s="17"/>
      <c r="G7" s="17"/>
      <c r="H7" s="33" t="s">
        <v>71</v>
      </c>
      <c r="I7" s="18"/>
      <c r="J7" s="19" t="s">
        <v>72</v>
      </c>
      <c r="K7" s="18" t="s">
        <v>73</v>
      </c>
      <c r="L7" s="18" t="s">
        <v>68</v>
      </c>
      <c r="M7" s="18"/>
      <c r="N7" s="20">
        <v>3000</v>
      </c>
      <c r="O7" s="19"/>
      <c r="P7" s="18"/>
      <c r="Q7" s="22"/>
      <c r="R7" s="22"/>
      <c r="S7" s="32"/>
      <c r="T7" s="24">
        <f>N7*50%</f>
        <v>1500</v>
      </c>
      <c r="U7" s="25">
        <f>(N7+Q7*P7)*50%</f>
        <v>1500</v>
      </c>
      <c r="V7" s="26"/>
      <c r="W7" s="27"/>
      <c r="X7" s="27"/>
      <c r="Y7" s="26"/>
      <c r="Z7" s="27"/>
      <c r="AA7" s="28"/>
      <c r="AB7" s="28"/>
      <c r="AC7" s="29"/>
      <c r="AD7" s="29"/>
      <c r="AE7" s="29"/>
      <c r="AF7" s="28"/>
      <c r="AG7" s="28"/>
      <c r="AH7" s="28"/>
      <c r="AI7" s="27"/>
      <c r="AJ7" s="16"/>
      <c r="AK7" s="30"/>
      <c r="AL7" s="16"/>
      <c r="AM7" s="16"/>
      <c r="AN7" s="16"/>
      <c r="AO7" s="31"/>
      <c r="AP7" s="31"/>
    </row>
    <row r="8" s="2" customFormat="1" ht="12.75" spans="1:42">
      <c r="B8" s="16"/>
      <c r="C8" s="17"/>
      <c r="D8" s="17"/>
      <c r="E8" s="17"/>
      <c r="F8" s="17"/>
      <c r="G8" s="17"/>
      <c r="H8" s="33" t="s">
        <v>74</v>
      </c>
      <c r="I8" s="18"/>
      <c r="J8" s="19" t="s">
        <v>72</v>
      </c>
      <c r="K8" s="18" t="s">
        <v>73</v>
      </c>
      <c r="L8" s="18" t="s">
        <v>68</v>
      </c>
      <c r="M8" s="18"/>
      <c r="N8" s="20">
        <v>3600</v>
      </c>
      <c r="O8" s="19"/>
      <c r="P8" s="18"/>
      <c r="Q8" s="22"/>
      <c r="R8" s="22"/>
      <c r="S8" s="34"/>
      <c r="T8" s="24">
        <f>N8*50%</f>
        <v>1800</v>
      </c>
      <c r="U8" s="25">
        <f>(N8+Q8*P8)*50%</f>
        <v>1800</v>
      </c>
      <c r="V8" s="26"/>
      <c r="W8" s="27"/>
      <c r="X8" s="27"/>
      <c r="Y8" s="26"/>
      <c r="Z8" s="27"/>
      <c r="AA8" s="28"/>
      <c r="AB8" s="28"/>
      <c r="AC8" s="29"/>
      <c r="AD8" s="29"/>
      <c r="AE8" s="29"/>
      <c r="AF8" s="28"/>
      <c r="AG8" s="28"/>
      <c r="AH8" s="28"/>
      <c r="AI8" s="27"/>
      <c r="AJ8" s="16"/>
      <c r="AK8" s="30"/>
      <c r="AL8" s="16"/>
      <c r="AM8" s="16"/>
      <c r="AN8" s="16"/>
      <c r="AO8" s="31"/>
      <c r="AP8" s="31"/>
    </row>
    <row r="9" s="2" customFormat="1" ht="35.75" customHeight="1" spans="1:42">
      <c r="C9" s="35"/>
      <c r="D9" s="35"/>
      <c r="E9" s="35"/>
      <c r="F9" s="35"/>
      <c r="G9" s="35"/>
      <c r="H9" s="36"/>
      <c r="I9" s="35"/>
      <c r="J9" s="37" t="s">
        <v>75</v>
      </c>
      <c r="K9" s="38" t="s">
        <v>76</v>
      </c>
      <c r="L9" s="38"/>
      <c r="M9" s="38"/>
      <c r="N9" s="38"/>
      <c r="O9" s="38"/>
      <c r="P9" s="39" t="s">
        <v>77</v>
      </c>
      <c r="Q9" s="40"/>
      <c r="R9" s="40"/>
      <c r="S9" s="40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2"/>
      <c r="AF9" s="43"/>
      <c r="AG9" s="43"/>
      <c r="AH9" s="43"/>
      <c r="AI9" s="44"/>
      <c r="AK9" s="45"/>
      <c r="AO9" s="46"/>
      <c r="AP9" s="46"/>
    </row>
    <row r="10" s="3" customFormat="1" ht="10.1" spans="1:42">
      <c r="G10" s="3" t="s">
        <v>78</v>
      </c>
    </row>
    <row r="11" s="4" customFormat="1"/>
    <row r="12" s="4" customFormat="1"/>
    <row r="13" s="4" customFormat="1" spans="1:42">
      <c r="H13" s="4" t="s">
        <v>79</v>
      </c>
      <c r="AD13" s="47"/>
    </row>
    <row r="14" spans="1:42">
      <c r="AD14" s="48"/>
    </row>
    <row r="15" spans="1:42">
      <c r="AD15" s="48"/>
    </row>
    <row r="16" spans="1:42">
      <c r="AD16" s="48"/>
    </row>
    <row r="17" spans="7:30">
      <c r="AD17" s="48"/>
    </row>
    <row r="18" spans="7:30">
      <c r="G18" s="6"/>
      <c r="AD18" s="48"/>
    </row>
    <row r="19" spans="7:30">
      <c r="AD19" s="48"/>
    </row>
  </sheetData>
  <mergeCells count="13">
    <mergeCell ref="G1:V1"/>
    <mergeCell ref="W1:AC1"/>
    <mergeCell ref="AD1:AF1"/>
    <mergeCell ref="AG1:AI1"/>
    <mergeCell ref="AK1:AP1"/>
    <mergeCell ref="K9:O9"/>
    <mergeCell ref="P9:S9"/>
    <mergeCell ref="T9:AD9"/>
    <mergeCell ref="C4:C8"/>
    <mergeCell ref="D4:D8"/>
    <mergeCell ref="E4:E8"/>
    <mergeCell ref="G4:G8"/>
    <mergeCell ref="S4:S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山中风雨</cp:lastModifiedBy>
  <dcterms:created xsi:type="dcterms:W3CDTF">2015-06-05T18:19:00Z</dcterms:created>
  <dcterms:modified xsi:type="dcterms:W3CDTF">2026-04-29T03:39:21Z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27467FD9F98B46DEA38DD9E80EF4A503_12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